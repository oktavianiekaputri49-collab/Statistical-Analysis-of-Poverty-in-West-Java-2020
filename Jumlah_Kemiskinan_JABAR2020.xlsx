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BC8E650B-D644-4B57-984B-AE670CA478E8}" xr6:coauthVersionLast="47" xr6:coauthVersionMax="47" xr10:uidLastSave="{00000000-0000-0000-0000-000000000000}"/>
  <bookViews>
    <workbookView xWindow="-110" yWindow="-110" windowWidth="19420" windowHeight="10300" xr2:uid="{4A82C163-7F39-44BC-AA52-5E34397928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D31" i="1"/>
  <c r="E4" i="1"/>
  <c r="D4" i="1"/>
  <c r="D37" i="1"/>
  <c r="D36" i="1"/>
  <c r="D35" i="1"/>
  <c r="D34" i="1"/>
  <c r="D3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2" i="1" l="1"/>
  <c r="G4" i="1" s="1"/>
  <c r="F30" i="1"/>
  <c r="G30" i="1" s="1"/>
  <c r="E30" i="1"/>
  <c r="F29" i="1"/>
  <c r="G29" i="1" s="1"/>
  <c r="E29" i="1"/>
  <c r="F28" i="1"/>
  <c r="G28" i="1" s="1"/>
  <c r="E28" i="1"/>
  <c r="F27" i="1"/>
  <c r="G27" i="1" s="1"/>
  <c r="E27" i="1"/>
  <c r="F26" i="1"/>
  <c r="G26" i="1" s="1"/>
  <c r="E26" i="1"/>
  <c r="F25" i="1"/>
  <c r="G25" i="1" s="1"/>
  <c r="E25" i="1"/>
  <c r="F24" i="1"/>
  <c r="G24" i="1" s="1"/>
  <c r="E24" i="1"/>
  <c r="F23" i="1"/>
  <c r="G23" i="1" s="1"/>
  <c r="E23" i="1"/>
  <c r="F22" i="1"/>
  <c r="G22" i="1" s="1"/>
  <c r="E22" i="1"/>
  <c r="F21" i="1"/>
  <c r="G21" i="1" s="1"/>
  <c r="E21" i="1"/>
  <c r="F20" i="1"/>
  <c r="G20" i="1" s="1"/>
  <c r="E20" i="1"/>
  <c r="F19" i="1"/>
  <c r="G19" i="1" s="1"/>
  <c r="E19" i="1"/>
  <c r="F18" i="1"/>
  <c r="G18" i="1" s="1"/>
  <c r="E18" i="1"/>
  <c r="F17" i="1"/>
  <c r="G17" i="1" s="1"/>
  <c r="E17" i="1"/>
  <c r="F16" i="1"/>
  <c r="G16" i="1" s="1"/>
  <c r="E16" i="1"/>
  <c r="F15" i="1"/>
  <c r="G15" i="1" s="1"/>
  <c r="E15" i="1"/>
  <c r="F14" i="1"/>
  <c r="G14" i="1" s="1"/>
  <c r="E14" i="1"/>
  <c r="F13" i="1"/>
  <c r="G13" i="1" s="1"/>
  <c r="E13" i="1"/>
  <c r="F12" i="1"/>
  <c r="G12" i="1" s="1"/>
  <c r="E12" i="1"/>
  <c r="F11" i="1"/>
  <c r="G11" i="1" s="1"/>
  <c r="E11" i="1"/>
  <c r="F10" i="1"/>
  <c r="G10" i="1" s="1"/>
  <c r="E10" i="1"/>
  <c r="F9" i="1"/>
  <c r="G9" i="1" s="1"/>
  <c r="E9" i="1"/>
  <c r="F8" i="1"/>
  <c r="G8" i="1" s="1"/>
  <c r="E8" i="1"/>
  <c r="F7" i="1"/>
  <c r="G7" i="1" s="1"/>
  <c r="E7" i="1"/>
  <c r="F6" i="1"/>
  <c r="G6" i="1" s="1"/>
  <c r="E6" i="1"/>
  <c r="F5" i="1"/>
  <c r="G5" i="1" s="1"/>
  <c r="E5" i="1"/>
</calcChain>
</file>

<file path=xl/sharedStrings.xml><?xml version="1.0" encoding="utf-8"?>
<sst xmlns="http://schemas.openxmlformats.org/spreadsheetml/2006/main" count="42" uniqueCount="35">
  <si>
    <t>Kabupaten/
Kota</t>
  </si>
  <si>
    <t>Jumlah 
Penduduk (Jiwa)</t>
  </si>
  <si>
    <t>Persentase 
Kemiskinan</t>
  </si>
  <si>
    <t>Kemiskinan 
(Ribuan)</t>
  </si>
  <si>
    <t>Proporsi</t>
  </si>
  <si>
    <t>xi-xbar</t>
  </si>
  <si>
    <t>(xi-xbar)^2</t>
  </si>
  <si>
    <t>Jumlah Kemiskinan di Jawa Barat Tahun 2020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</si>
  <si>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</si>
  <si>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</si>
  <si>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</si>
  <si>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</si>
  <si>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</si>
  <si>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</si>
  <si>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</si>
  <si>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</si>
  <si>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</si>
  <si>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</si>
  <si>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</si>
  <si>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</si>
  <si>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</si>
  <si>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</si>
  <si>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</si>
  <si>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</si>
  <si>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</si>
  <si>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</si>
  <si>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Depok</t>
  </si>
  <si>
    <t>Cimahi</t>
  </si>
  <si>
    <t>Banjar</t>
  </si>
  <si>
    <t>Total</t>
  </si>
  <si>
    <t>Rata-rata</t>
  </si>
  <si>
    <t>Total Proporsi</t>
  </si>
  <si>
    <t>Total S^2</t>
  </si>
  <si>
    <t>S^2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</si>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</sst>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0" borderId="0" xfId="0" applyNumberFormat="1" applyFont="1"/>
    <xf numFmtId="43" fontId="2" fillId="0" borderId="0" xfId="1" applyFont="1"/>
    <xf numFmtId="43" fontId="2" fillId="0" borderId="0" xfId="0" applyNumberFormat="1" applyFont="1"/>
    <xf numFmtId="0" fontId="3" fillId="0" borderId="1" xfId="0" applyFont="1" applyBorder="1"/>
    <xf numFmtId="43" fontId="3" fillId="0" borderId="1" xfId="1" applyFont="1" applyBorder="1"/>
    <xf numFmtId="43" fontId="3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6C19-A9A3-40FB-A372-ECBDC3511CC1}">
  <dimension ref="A1:G37"/>
  <sheetViews>
    <sheetView tabSelected="1" workbookViewId="0">
      <selection activeCell="H4" sqref="H4"/>
    </sheetView>
  </sheetViews>
  <sheetFormatPr defaultRowHeight="15.5" x14ac:dyDescent="0.35"/>
  <cols>
    <col min="1" max="1" width="14.08984375" style="4" bestFit="1" customWidth="1"/>
    <col min="2" max="2" width="17.453125" style="4" customWidth="1"/>
    <col min="3" max="3" width="16.08984375" style="4" customWidth="1"/>
    <col min="4" max="4" width="12.7265625" style="4" customWidth="1"/>
    <col min="5" max="5" width="9.36328125" style="4" customWidth="1"/>
    <col min="6" max="6" width="8.1796875" style="4" customWidth="1"/>
    <col min="7" max="7" width="11.90625" style="4" customWidth="1"/>
    <col min="8" max="16384" width="8.7265625" style="4"/>
  </cols>
  <sheetData>
    <row r="1" spans="1:7" x14ac:dyDescent="0.35">
      <c r="A1" s="1" t="s">
        <v>7</v>
      </c>
      <c r="B1" s="2"/>
      <c r="C1" s="3"/>
    </row>
    <row r="2" spans="1:7" x14ac:dyDescent="0.35">
      <c r="B2" s="2"/>
      <c r="C2" s="3"/>
    </row>
    <row r="3" spans="1:7" ht="30" x14ac:dyDescent="0.35">
      <c r="A3" s="5" t="s">
        <v>0</v>
      </c>
      <c r="B3" s="6" t="s">
        <v>1</v>
      </c>
      <c r="C3" s="7" t="s">
        <v>2</v>
      </c>
      <c r="D3" s="8" t="s">
        <v>3</v>
      </c>
      <c r="E3" s="9" t="s">
        <v>4</v>
      </c>
      <c r="F3" s="10" t="s">
        <v>5</v>
      </c>
      <c r="G3" s="10" t="s">
        <v>6</v>
      </c>
    </row>
    <row r="4" spans="1:7" x14ac:dyDescent="0.35">
      <c r="A4" s="14" t="s">
        <v>8</v>
      </c>
      <c r="B4" s="14">
        <v>465.67</v>
      </c>
      <c r="C4" s="14">
        <v>7.69</v>
      </c>
      <c r="D4" s="15">
        <f>C4*B4/100</f>
        <v>35.810023000000001</v>
      </c>
      <c r="E4" s="16">
        <f>D4/B4</f>
        <v>7.6899999999999996E-2</v>
      </c>
      <c r="F4" s="16">
        <f>D4-$D$32</f>
        <v>22.966239259259261</v>
      </c>
      <c r="G4" s="16">
        <f>F4^2</f>
        <v>527.44814571354141</v>
      </c>
    </row>
    <row r="5" spans="1:7" x14ac:dyDescent="0.35">
      <c r="A5" s="14" t="s">
        <v>9</v>
      </c>
      <c r="B5" s="14">
        <v>175.1</v>
      </c>
      <c r="C5" s="14">
        <v>7.09</v>
      </c>
      <c r="D5" s="15">
        <f t="shared" ref="D5:D30" si="0">C5*B5/100</f>
        <v>12.414589999999999</v>
      </c>
      <c r="E5" s="16">
        <f t="shared" ref="E5:E30" si="1">D5/B5</f>
        <v>7.0899999999999991E-2</v>
      </c>
      <c r="F5" s="16">
        <f t="shared" ref="F5:F30" si="2">D5-$D$32</f>
        <v>-0.42919374074074312</v>
      </c>
      <c r="G5" s="16">
        <f t="shared" ref="G5:G30" si="3">F5^2</f>
        <v>0.18420726709103222</v>
      </c>
    </row>
    <row r="6" spans="1:7" x14ac:dyDescent="0.35">
      <c r="A6" s="14" t="s">
        <v>10</v>
      </c>
      <c r="B6" s="14">
        <v>234.47</v>
      </c>
      <c r="C6" s="14">
        <v>10.36</v>
      </c>
      <c r="D6" s="15">
        <f t="shared" si="0"/>
        <v>24.291091999999999</v>
      </c>
      <c r="E6" s="16">
        <f t="shared" si="1"/>
        <v>0.1036</v>
      </c>
      <c r="F6" s="16">
        <f t="shared" si="2"/>
        <v>11.447308259259257</v>
      </c>
      <c r="G6" s="16">
        <f t="shared" si="3"/>
        <v>131.04086638250521</v>
      </c>
    </row>
    <row r="7" spans="1:7" x14ac:dyDescent="0.35">
      <c r="A7" s="14" t="s">
        <v>11</v>
      </c>
      <c r="B7" s="14">
        <v>263.60000000000002</v>
      </c>
      <c r="C7" s="14">
        <v>6.91</v>
      </c>
      <c r="D7" s="15">
        <f t="shared" si="0"/>
        <v>18.214760000000002</v>
      </c>
      <c r="E7" s="16">
        <f t="shared" si="1"/>
        <v>6.9099999999999995E-2</v>
      </c>
      <c r="F7" s="16">
        <f t="shared" si="2"/>
        <v>5.37097625925926</v>
      </c>
      <c r="G7" s="16">
        <f t="shared" si="3"/>
        <v>28.847385977526596</v>
      </c>
    </row>
    <row r="8" spans="1:7" x14ac:dyDescent="0.35">
      <c r="A8" s="14" t="s">
        <v>12</v>
      </c>
      <c r="B8" s="14">
        <v>262.77999999999997</v>
      </c>
      <c r="C8" s="14">
        <v>9.98</v>
      </c>
      <c r="D8" s="15">
        <f t="shared" si="0"/>
        <v>26.225443999999996</v>
      </c>
      <c r="E8" s="16">
        <f t="shared" si="1"/>
        <v>9.98E-2</v>
      </c>
      <c r="F8" s="16">
        <f t="shared" si="2"/>
        <v>13.381660259259254</v>
      </c>
      <c r="G8" s="16">
        <f t="shared" si="3"/>
        <v>179.06883129423844</v>
      </c>
    </row>
    <row r="9" spans="1:7" x14ac:dyDescent="0.35">
      <c r="A9" s="14" t="s">
        <v>13</v>
      </c>
      <c r="B9" s="14">
        <v>181.52</v>
      </c>
      <c r="C9" s="14">
        <v>10.34</v>
      </c>
      <c r="D9" s="15">
        <f t="shared" si="0"/>
        <v>18.769168000000001</v>
      </c>
      <c r="E9" s="16">
        <f t="shared" si="1"/>
        <v>0.10339999999999999</v>
      </c>
      <c r="F9" s="16">
        <f t="shared" si="2"/>
        <v>5.9253842592592587</v>
      </c>
      <c r="G9" s="16">
        <f t="shared" si="3"/>
        <v>35.110178619877395</v>
      </c>
    </row>
    <row r="10" spans="1:7" x14ac:dyDescent="0.35">
      <c r="A10" s="14" t="s">
        <v>14</v>
      </c>
      <c r="B10" s="14">
        <v>91.39</v>
      </c>
      <c r="C10" s="14">
        <v>7.62</v>
      </c>
      <c r="D10" s="15">
        <f t="shared" si="0"/>
        <v>6.9639179999999996</v>
      </c>
      <c r="E10" s="16">
        <f t="shared" si="1"/>
        <v>7.619999999999999E-2</v>
      </c>
      <c r="F10" s="16">
        <f t="shared" si="2"/>
        <v>-5.8798657407407422</v>
      </c>
      <c r="G10" s="16">
        <f t="shared" si="3"/>
        <v>34.572821129136678</v>
      </c>
    </row>
    <row r="11" spans="1:7" x14ac:dyDescent="0.35">
      <c r="A11" s="14" t="s">
        <v>15</v>
      </c>
      <c r="B11" s="14">
        <v>139.19999999999999</v>
      </c>
      <c r="C11" s="14">
        <v>12.82</v>
      </c>
      <c r="D11" s="15">
        <f t="shared" si="0"/>
        <v>17.84544</v>
      </c>
      <c r="E11" s="16">
        <f t="shared" si="1"/>
        <v>0.12820000000000001</v>
      </c>
      <c r="F11" s="16">
        <f t="shared" si="2"/>
        <v>5.0016562592592582</v>
      </c>
      <c r="G11" s="16">
        <f t="shared" si="3"/>
        <v>25.016565335787316</v>
      </c>
    </row>
    <row r="12" spans="1:7" x14ac:dyDescent="0.35">
      <c r="A12" s="14" t="s">
        <v>16</v>
      </c>
      <c r="B12" s="14">
        <v>247.94</v>
      </c>
      <c r="C12" s="14">
        <v>11.24</v>
      </c>
      <c r="D12" s="15">
        <f t="shared" si="0"/>
        <v>27.868456000000002</v>
      </c>
      <c r="E12" s="16">
        <f t="shared" si="1"/>
        <v>0.11240000000000001</v>
      </c>
      <c r="F12" s="16">
        <f t="shared" si="2"/>
        <v>15.02467225925926</v>
      </c>
      <c r="G12" s="16">
        <f t="shared" si="3"/>
        <v>225.74077649815476</v>
      </c>
    </row>
    <row r="13" spans="1:7" x14ac:dyDescent="0.35">
      <c r="A13" s="14" t="s">
        <v>17</v>
      </c>
      <c r="B13" s="14">
        <v>138.21</v>
      </c>
      <c r="C13" s="14">
        <v>11.43</v>
      </c>
      <c r="D13" s="15">
        <f t="shared" si="0"/>
        <v>15.797403000000001</v>
      </c>
      <c r="E13" s="16">
        <f t="shared" si="1"/>
        <v>0.1143</v>
      </c>
      <c r="F13" s="16">
        <f t="shared" si="2"/>
        <v>2.9536192592592592</v>
      </c>
      <c r="G13" s="16">
        <f t="shared" si="3"/>
        <v>8.7238667286672147</v>
      </c>
    </row>
    <row r="14" spans="1:7" x14ac:dyDescent="0.35">
      <c r="A14" s="14" t="s">
        <v>18</v>
      </c>
      <c r="B14" s="14">
        <v>118.38</v>
      </c>
      <c r="C14" s="14">
        <v>10.26</v>
      </c>
      <c r="D14" s="15">
        <f t="shared" si="0"/>
        <v>12.145788</v>
      </c>
      <c r="E14" s="16">
        <f t="shared" si="1"/>
        <v>0.1026</v>
      </c>
      <c r="F14" s="16">
        <f t="shared" si="2"/>
        <v>-0.69799574074074222</v>
      </c>
      <c r="G14" s="16">
        <f t="shared" si="3"/>
        <v>0.48719805409221745</v>
      </c>
    </row>
    <row r="15" spans="1:7" x14ac:dyDescent="0.35">
      <c r="A15" s="14" t="s">
        <v>19</v>
      </c>
      <c r="B15" s="14">
        <v>220.31</v>
      </c>
      <c r="C15" s="14">
        <v>12.7</v>
      </c>
      <c r="D15" s="15">
        <f t="shared" si="0"/>
        <v>27.979369999999999</v>
      </c>
      <c r="E15" s="16">
        <f t="shared" si="1"/>
        <v>0.127</v>
      </c>
      <c r="F15" s="16">
        <f t="shared" si="2"/>
        <v>15.135586259259258</v>
      </c>
      <c r="G15" s="16">
        <f t="shared" si="3"/>
        <v>229.08597141147766</v>
      </c>
    </row>
    <row r="16" spans="1:7" x14ac:dyDescent="0.35">
      <c r="A16" s="14" t="s">
        <v>20</v>
      </c>
      <c r="B16" s="14">
        <v>149.81</v>
      </c>
      <c r="C16" s="14">
        <v>9.31</v>
      </c>
      <c r="D16" s="15">
        <f t="shared" si="0"/>
        <v>13.947311000000003</v>
      </c>
      <c r="E16" s="16">
        <f t="shared" si="1"/>
        <v>9.3100000000000016E-2</v>
      </c>
      <c r="F16" s="16">
        <f t="shared" si="2"/>
        <v>1.1035272592592609</v>
      </c>
      <c r="G16" s="16">
        <f t="shared" si="3"/>
        <v>1.217772411928256</v>
      </c>
    </row>
    <row r="17" spans="1:7" x14ac:dyDescent="0.35">
      <c r="A17" s="14" t="s">
        <v>21</v>
      </c>
      <c r="B17" s="14">
        <v>80.17</v>
      </c>
      <c r="C17" s="14">
        <v>8.27</v>
      </c>
      <c r="D17" s="15">
        <f t="shared" si="0"/>
        <v>6.6300590000000001</v>
      </c>
      <c r="E17" s="16">
        <f t="shared" si="1"/>
        <v>8.2699999999999996E-2</v>
      </c>
      <c r="F17" s="16">
        <f t="shared" si="2"/>
        <v>-6.2137247407407417</v>
      </c>
      <c r="G17" s="16">
        <f t="shared" si="3"/>
        <v>38.610375153693596</v>
      </c>
    </row>
    <row r="18" spans="1:7" x14ac:dyDescent="0.35">
      <c r="A18" s="14" t="s">
        <v>22</v>
      </c>
      <c r="B18" s="14">
        <v>195.41</v>
      </c>
      <c r="C18" s="14">
        <v>8.26</v>
      </c>
      <c r="D18" s="15">
        <f t="shared" si="0"/>
        <v>16.140865999999999</v>
      </c>
      <c r="E18" s="16">
        <f t="shared" si="1"/>
        <v>8.2599999999999993E-2</v>
      </c>
      <c r="F18" s="16">
        <f t="shared" si="2"/>
        <v>3.2970822592592572</v>
      </c>
      <c r="G18" s="16">
        <f t="shared" si="3"/>
        <v>10.870751424322128</v>
      </c>
    </row>
    <row r="19" spans="1:7" x14ac:dyDescent="0.35">
      <c r="A19" s="14" t="s">
        <v>23</v>
      </c>
      <c r="B19" s="14">
        <v>186.3</v>
      </c>
      <c r="C19" s="14">
        <v>4.82</v>
      </c>
      <c r="D19" s="15">
        <f t="shared" si="0"/>
        <v>8.9796600000000009</v>
      </c>
      <c r="E19" s="16">
        <f t="shared" si="1"/>
        <v>4.82E-2</v>
      </c>
      <c r="F19" s="16">
        <f t="shared" si="2"/>
        <v>-3.8641237407407409</v>
      </c>
      <c r="G19" s="16">
        <f t="shared" si="3"/>
        <v>14.931452283756217</v>
      </c>
    </row>
    <row r="20" spans="1:7" x14ac:dyDescent="0.35">
      <c r="A20" s="14" t="s">
        <v>24</v>
      </c>
      <c r="B20" s="14">
        <v>179.46</v>
      </c>
      <c r="C20" s="14">
        <v>10.49</v>
      </c>
      <c r="D20" s="15">
        <f t="shared" si="0"/>
        <v>18.825354000000001</v>
      </c>
      <c r="E20" s="16">
        <f t="shared" si="1"/>
        <v>0.10489999999999999</v>
      </c>
      <c r="F20" s="16">
        <f t="shared" si="2"/>
        <v>5.981570259259259</v>
      </c>
      <c r="G20" s="16">
        <f t="shared" si="3"/>
        <v>35.77918276645488</v>
      </c>
    </row>
    <row r="21" spans="1:7" x14ac:dyDescent="0.35">
      <c r="A21" s="14" t="s">
        <v>25</v>
      </c>
      <c r="B21" s="14">
        <v>36.049999999999997</v>
      </c>
      <c r="C21" s="14">
        <v>8.99</v>
      </c>
      <c r="D21" s="15">
        <f t="shared" si="0"/>
        <v>3.2408950000000001</v>
      </c>
      <c r="E21" s="16">
        <f t="shared" si="1"/>
        <v>8.9900000000000008E-2</v>
      </c>
      <c r="F21" s="16">
        <f t="shared" si="2"/>
        <v>-9.6028887407407417</v>
      </c>
      <c r="G21" s="16">
        <f t="shared" si="3"/>
        <v>92.215472167045306</v>
      </c>
    </row>
    <row r="22" spans="1:7" x14ac:dyDescent="0.35">
      <c r="A22" s="14" t="s">
        <v>8</v>
      </c>
      <c r="B22" s="14">
        <v>75.040000000000006</v>
      </c>
      <c r="C22" s="14">
        <v>6.68</v>
      </c>
      <c r="D22" s="15">
        <f t="shared" si="0"/>
        <v>5.0126720000000002</v>
      </c>
      <c r="E22" s="16">
        <f t="shared" si="1"/>
        <v>6.6799999999999998E-2</v>
      </c>
      <c r="F22" s="16">
        <f t="shared" si="2"/>
        <v>-7.8311117407407416</v>
      </c>
      <c r="G22" s="16">
        <f t="shared" si="3"/>
        <v>61.32631109596749</v>
      </c>
    </row>
    <row r="23" spans="1:7" x14ac:dyDescent="0.35">
      <c r="A23" s="14" t="s">
        <v>9</v>
      </c>
      <c r="B23" s="14">
        <v>25.42</v>
      </c>
      <c r="C23" s="14">
        <v>7.7</v>
      </c>
      <c r="D23" s="15">
        <f t="shared" si="0"/>
        <v>1.9573400000000001</v>
      </c>
      <c r="E23" s="16">
        <f t="shared" si="1"/>
        <v>7.6999999999999999E-2</v>
      </c>
      <c r="F23" s="16">
        <f t="shared" si="2"/>
        <v>-10.886443740740742</v>
      </c>
      <c r="G23" s="16">
        <f t="shared" si="3"/>
        <v>118.51465732031328</v>
      </c>
    </row>
    <row r="24" spans="1:7" x14ac:dyDescent="0.35">
      <c r="A24" s="14" t="s">
        <v>11</v>
      </c>
      <c r="B24" s="14">
        <v>100.02</v>
      </c>
      <c r="C24" s="14">
        <v>3.99</v>
      </c>
      <c r="D24" s="15">
        <f t="shared" si="0"/>
        <v>3.9907979999999998</v>
      </c>
      <c r="E24" s="16">
        <f t="shared" si="1"/>
        <v>3.9899999999999998E-2</v>
      </c>
      <c r="F24" s="16">
        <f t="shared" si="2"/>
        <v>-8.852985740740742</v>
      </c>
      <c r="G24" s="16">
        <f t="shared" si="3"/>
        <v>78.375356525758903</v>
      </c>
    </row>
    <row r="25" spans="1:7" x14ac:dyDescent="0.35">
      <c r="A25" s="14" t="s">
        <v>16</v>
      </c>
      <c r="B25" s="14">
        <v>30.61</v>
      </c>
      <c r="C25" s="14">
        <v>9.52</v>
      </c>
      <c r="D25" s="15">
        <f t="shared" si="0"/>
        <v>2.914072</v>
      </c>
      <c r="E25" s="16">
        <f t="shared" si="1"/>
        <v>9.5200000000000007E-2</v>
      </c>
      <c r="F25" s="16">
        <f t="shared" si="2"/>
        <v>-9.9297117407407427</v>
      </c>
      <c r="G25" s="16">
        <f t="shared" si="3"/>
        <v>98.599175254204553</v>
      </c>
    </row>
    <row r="26" spans="1:7" x14ac:dyDescent="0.35">
      <c r="A26" s="14" t="s">
        <v>23</v>
      </c>
      <c r="B26" s="14">
        <v>134.01</v>
      </c>
      <c r="C26" s="14">
        <v>4.38</v>
      </c>
      <c r="D26" s="15">
        <f t="shared" si="0"/>
        <v>5.8696380000000001</v>
      </c>
      <c r="E26" s="16">
        <f t="shared" si="1"/>
        <v>4.3800000000000006E-2</v>
      </c>
      <c r="F26" s="16">
        <f t="shared" si="2"/>
        <v>-6.9741457407407417</v>
      </c>
      <c r="G26" s="16">
        <f t="shared" si="3"/>
        <v>48.638708813092229</v>
      </c>
    </row>
    <row r="27" spans="1:7" x14ac:dyDescent="0.35">
      <c r="A27" s="14" t="s">
        <v>26</v>
      </c>
      <c r="B27" s="14">
        <v>60.43</v>
      </c>
      <c r="C27" s="14">
        <v>2.4500000000000002</v>
      </c>
      <c r="D27" s="15">
        <f t="shared" si="0"/>
        <v>1.4805350000000002</v>
      </c>
      <c r="E27" s="16">
        <f t="shared" si="1"/>
        <v>2.4500000000000004E-2</v>
      </c>
      <c r="F27" s="16">
        <f t="shared" si="2"/>
        <v>-11.363248740740742</v>
      </c>
      <c r="G27" s="16">
        <f t="shared" si="3"/>
        <v>129.12342194394606</v>
      </c>
    </row>
    <row r="28" spans="1:7" x14ac:dyDescent="0.35">
      <c r="A28" s="14" t="s">
        <v>27</v>
      </c>
      <c r="B28" s="14">
        <v>31.64</v>
      </c>
      <c r="C28" s="14">
        <v>5.1100000000000003</v>
      </c>
      <c r="D28" s="15">
        <f t="shared" si="0"/>
        <v>1.6168040000000001</v>
      </c>
      <c r="E28" s="16">
        <f t="shared" si="1"/>
        <v>5.1100000000000007E-2</v>
      </c>
      <c r="F28" s="16">
        <f t="shared" si="2"/>
        <v>-11.226979740740742</v>
      </c>
      <c r="G28" s="16">
        <f t="shared" si="3"/>
        <v>126.04507409900305</v>
      </c>
    </row>
    <row r="29" spans="1:7" x14ac:dyDescent="0.35">
      <c r="A29" s="14" t="s">
        <v>13</v>
      </c>
      <c r="B29" s="14">
        <v>86.13</v>
      </c>
      <c r="C29" s="14">
        <v>12.97</v>
      </c>
      <c r="D29" s="15">
        <f t="shared" si="0"/>
        <v>11.171061</v>
      </c>
      <c r="E29" s="16">
        <f t="shared" si="1"/>
        <v>0.12970000000000001</v>
      </c>
      <c r="F29" s="16">
        <f t="shared" si="2"/>
        <v>-1.6727227407407419</v>
      </c>
      <c r="G29" s="16">
        <f t="shared" si="3"/>
        <v>2.7980013673912194</v>
      </c>
    </row>
    <row r="30" spans="1:7" x14ac:dyDescent="0.35">
      <c r="A30" s="14" t="s">
        <v>28</v>
      </c>
      <c r="B30" s="14">
        <v>11.16</v>
      </c>
      <c r="C30" s="14">
        <v>6.09</v>
      </c>
      <c r="D30" s="15">
        <f t="shared" si="0"/>
        <v>0.67964400000000003</v>
      </c>
      <c r="E30" s="16">
        <f t="shared" si="1"/>
        <v>6.0900000000000003E-2</v>
      </c>
      <c r="F30" s="16">
        <f t="shared" si="2"/>
        <v>-12.164139740740742</v>
      </c>
      <c r="G30" s="16">
        <f t="shared" si="3"/>
        <v>147.96629563226824</v>
      </c>
    </row>
    <row r="31" spans="1:7" x14ac:dyDescent="0.35">
      <c r="C31" s="11" t="s">
        <v>29</v>
      </c>
      <c r="D31" s="12">
        <f>SUM(D4:D30)</f>
        <v>346.78216100000003</v>
      </c>
    </row>
    <row r="32" spans="1:7" x14ac:dyDescent="0.35">
      <c r="C32" s="11" t="s">
        <v>30</v>
      </c>
      <c r="D32" s="13">
        <f>AVERAGE(D4:D30)</f>
        <v>12.843783740740742</v>
      </c>
    </row>
    <row r="33" spans="3:4" x14ac:dyDescent="0.35">
      <c r="C33" s="11" t="s">
        <v>31</v>
      </c>
      <c r="D33" s="13">
        <f>SUM(E4:E30)</f>
        <v>2.2747000000000002</v>
      </c>
    </row>
    <row r="34" spans="3:4" x14ac:dyDescent="0.35">
      <c r="C34" s="11" t="s">
        <v>4</v>
      </c>
      <c r="D34" s="13">
        <f>D33/27</f>
        <v>8.4248148148148155E-2</v>
      </c>
    </row>
    <row r="35" spans="3:4" x14ac:dyDescent="0.35">
      <c r="C35" s="11" t="s">
        <v>32</v>
      </c>
      <c r="D35" s="12">
        <f>SUM(G4:G30)</f>
        <v>2430.3388226712414</v>
      </c>
    </row>
    <row r="36" spans="3:4" x14ac:dyDescent="0.35">
      <c r="C36" s="11" t="s">
        <v>33</v>
      </c>
      <c r="D36" s="13">
        <f>D35/26</f>
        <v>93.474570102740046</v>
      </c>
    </row>
    <row r="37" spans="3:4" x14ac:dyDescent="0.35">
      <c r="C37" s="11" t="s">
        <v>34</v>
      </c>
      <c r="D37" s="13">
        <f>1-D34</f>
        <v>0.91575185185185182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2026-06-03T00:54:41Z</dcterms:created>
  <dcterms:modified xsi:type="dcterms:W3CDTF">2026-06-03T02:57:21Z</dcterms:modified>
</cp:coreProperties>
</file>